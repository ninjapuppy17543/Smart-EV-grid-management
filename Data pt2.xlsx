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tef\Desktop\"/>
    </mc:Choice>
  </mc:AlternateContent>
  <bookViews>
    <workbookView xWindow="0" yWindow="0" windowWidth="23040" windowHeight="10692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45" i="1"/>
  <c r="C45" i="1"/>
  <c r="C41" i="1" l="1"/>
  <c r="Y39" i="1"/>
  <c r="Y37" i="1"/>
  <c r="Y33" i="1"/>
  <c r="Y26" i="1"/>
  <c r="Y23" i="1"/>
  <c r="Y30" i="1"/>
  <c r="Y19" i="1"/>
  <c r="Y16" i="1"/>
  <c r="Y12" i="1"/>
  <c r="Y9" i="1"/>
  <c r="Y4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A37" i="1"/>
</calcChain>
</file>

<file path=xl/sharedStrings.xml><?xml version="1.0" encoding="utf-8"?>
<sst xmlns="http://schemas.openxmlformats.org/spreadsheetml/2006/main" count="23" uniqueCount="17">
  <si>
    <t>FAST CHARGE STATIONS</t>
  </si>
  <si>
    <t>Workday</t>
  </si>
  <si>
    <t>(Not workday is unavailable)</t>
  </si>
  <si>
    <t xml:space="preserve">Workday </t>
  </si>
  <si>
    <t>Not workday</t>
  </si>
  <si>
    <t>PUBLIC CHARGE STATIONS</t>
  </si>
  <si>
    <t>SMALL PUBLIC CHARGE STATIONS</t>
  </si>
  <si>
    <t>LARGE PUBLIC CHARGE STATIONS</t>
  </si>
  <si>
    <t>HOME CHARGE</t>
  </si>
  <si>
    <t>`</t>
  </si>
  <si>
    <t>KW</t>
  </si>
  <si>
    <t>Average</t>
  </si>
  <si>
    <t>Average km driven a day</t>
  </si>
  <si>
    <t>Consumption</t>
  </si>
  <si>
    <t>kwh/km</t>
  </si>
  <si>
    <t>164 kw total daily consumption</t>
  </si>
  <si>
    <t>Profile for danish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</si>
</sst>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1F1F1F"/>
      <name val="Georgia"/>
      <family val="1"/>
      <charset val="238"/>
    </font>
    <font>
      <b/>
      <sz val="11"/>
      <color rgb="FF1F1F1F"/>
      <name val="Georgia"/>
      <family val="1"/>
      <charset val="238"/>
    </font>
    <font>
      <sz val="11"/>
      <color rgb="FF1F1F1F"/>
      <name val="Calibri"/>
      <family val="2"/>
      <charset val="238"/>
      <scheme val="minor"/>
    </font>
    <font>
      <b/>
      <sz val="11"/>
      <color rgb="FF1F1F1F"/>
      <name val="Calibri"/>
      <family val="2"/>
      <charset val="238"/>
      <scheme val="minor"/>
    </font>
    <font>
      <b/>
      <sz val="14"/>
      <color rgb="FF1F1F1F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0" fillId="0" borderId="0" xfId="0" applyBorder="1"/>
    <xf numFmtId="0" fontId="3" fillId="0" borderId="0" xfId="0" applyFont="1" applyBorder="1" applyAlignment="1">
      <alignment horizontal="left" vertical="center" wrapText="1"/>
    </xf>
    <xf numFmtId="0" fontId="0" fillId="0" borderId="0" xfId="0" applyFont="1"/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0" xfId="0" applyFont="1"/>
    <xf numFmtId="0" fontId="6" fillId="0" borderId="0" xfId="0" applyFont="1" applyBorder="1" applyAlignment="1">
      <alignment horizontal="left" vertical="center" wrapText="1"/>
    </xf>
    <xf numFmtId="0" fontId="0" fillId="0" borderId="0" xfId="0" applyFont="1" applyBorder="1"/>
    <xf numFmtId="0" fontId="1" fillId="0" borderId="0" xfId="0" applyFont="1" applyBorder="1"/>
    <xf numFmtId="2" fontId="0" fillId="0" borderId="0" xfId="0" applyNumberFormat="1"/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4" fillId="0" borderId="0" xfId="0" applyNumberFormat="1" applyFont="1" applyBorder="1" applyAlignment="1">
      <alignment horizontal="right" wrapText="1"/>
    </xf>
    <xf numFmtId="2" fontId="2" fillId="0" borderId="0" xfId="0" applyNumberFormat="1" applyFont="1" applyBorder="1" applyAlignment="1">
      <alignment horizontal="right" wrapText="1"/>
    </xf>
    <xf numFmtId="2" fontId="0" fillId="0" borderId="0" xfId="0" applyNumberFormat="1" applyFont="1" applyBorder="1" applyAlignment="1">
      <alignment horizontal="right"/>
    </xf>
    <xf numFmtId="2" fontId="0" fillId="0" borderId="0" xfId="0" applyNumberFormat="1" applyFont="1" applyAlignment="1">
      <alignment horizontal="right"/>
    </xf>
    <xf numFmtId="2" fontId="3" fillId="0" borderId="0" xfId="0" applyNumberFormat="1" applyFont="1" applyBorder="1" applyAlignment="1">
      <alignment horizontal="right" wrapText="1"/>
    </xf>
    <xf numFmtId="0" fontId="1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Arkusz1!$A$45:$A$68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Arkusz1!$D$45:$D$68</c:f>
              <c:numCache>
                <c:formatCode>General</c:formatCode>
                <c:ptCount val="24"/>
                <c:pt idx="0">
                  <c:v>0.15800000000000003</c:v>
                </c:pt>
                <c:pt idx="1">
                  <c:v>8.500000000000002E-2</c:v>
                </c:pt>
                <c:pt idx="2">
                  <c:v>3.7000000000000033E-2</c:v>
                </c:pt>
                <c:pt idx="3">
                  <c:v>1.100000000000001E-2</c:v>
                </c:pt>
                <c:pt idx="4">
                  <c:v>0</c:v>
                </c:pt>
                <c:pt idx="5">
                  <c:v>1.2000000000000011E-2</c:v>
                </c:pt>
                <c:pt idx="6">
                  <c:v>7.400000000000001E-2</c:v>
                </c:pt>
                <c:pt idx="7">
                  <c:v>0.22700000000000004</c:v>
                </c:pt>
                <c:pt idx="8">
                  <c:v>0.36599999999999999</c:v>
                </c:pt>
                <c:pt idx="9">
                  <c:v>0.40500000000000003</c:v>
                </c:pt>
                <c:pt idx="10">
                  <c:v>0.38600000000000001</c:v>
                </c:pt>
                <c:pt idx="11">
                  <c:v>0.36099999999999999</c:v>
                </c:pt>
                <c:pt idx="12">
                  <c:v>0.33400000000000002</c:v>
                </c:pt>
                <c:pt idx="13">
                  <c:v>0.30400000000000005</c:v>
                </c:pt>
                <c:pt idx="14">
                  <c:v>0.28400000000000003</c:v>
                </c:pt>
                <c:pt idx="15">
                  <c:v>0.27100000000000002</c:v>
                </c:pt>
                <c:pt idx="16">
                  <c:v>0.32800000000000001</c:v>
                </c:pt>
                <c:pt idx="17">
                  <c:v>0.51300000000000001</c:v>
                </c:pt>
                <c:pt idx="18">
                  <c:v>0.55600000000000005</c:v>
                </c:pt>
                <c:pt idx="19">
                  <c:v>0.49199999999999999</c:v>
                </c:pt>
                <c:pt idx="20">
                  <c:v>0.44800000000000001</c:v>
                </c:pt>
                <c:pt idx="21">
                  <c:v>0.39500000000000002</c:v>
                </c:pt>
                <c:pt idx="22">
                  <c:v>0.314</c:v>
                </c:pt>
                <c:pt idx="23">
                  <c:v>0.33600000000000002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715488"/>
        <c:axId val="1760716032"/>
      </c:barChart>
      <c:catAx>
        <c:axId val="176071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16032"/>
        <c:crosses val="autoZero"/>
        <c:auto val="1"/>
        <c:lblAlgn val="ctr"/>
        <c:lblOffset val="100"/>
        <c:noMultiLvlLbl val="0"/>
      </c:catAx>
      <c:valAx>
        <c:axId val="17607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Arkusz1!$A$36:$X$36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Arkusz1!$A$37:$X$37</c:f>
              <c:numCache>
                <c:formatCode>0.00</c:formatCode>
                <c:ptCount val="24"/>
                <c:pt idx="0">
                  <c:v>0.74421481481481477</c:v>
                </c:pt>
                <c:pt idx="1">
                  <c:v>0.61626759259259256</c:v>
                </c:pt>
                <c:pt idx="2">
                  <c:v>0.45458518518518509</c:v>
                </c:pt>
                <c:pt idx="3">
                  <c:v>0.33287222222222224</c:v>
                </c:pt>
                <c:pt idx="4">
                  <c:v>0.22707407407407409</c:v>
                </c:pt>
                <c:pt idx="5">
                  <c:v>0.19286388888888889</c:v>
                </c:pt>
                <c:pt idx="6">
                  <c:v>0.18841203703703704</c:v>
                </c:pt>
                <c:pt idx="7">
                  <c:v>0.27922592592592599</c:v>
                </c:pt>
                <c:pt idx="8">
                  <c:v>0.51642037037037036</c:v>
                </c:pt>
                <c:pt idx="9">
                  <c:v>0.95598703703703691</c:v>
                </c:pt>
                <c:pt idx="10">
                  <c:v>1.1573898148148147</c:v>
                </c:pt>
                <c:pt idx="11">
                  <c:v>1.4042611111111112</c:v>
                </c:pt>
                <c:pt idx="12">
                  <c:v>1.7291166666666666</c:v>
                </c:pt>
                <c:pt idx="13">
                  <c:v>1.6749166666666668</c:v>
                </c:pt>
                <c:pt idx="14">
                  <c:v>1.725273148148148</c:v>
                </c:pt>
                <c:pt idx="15">
                  <c:v>1.6490925925925926</c:v>
                </c:pt>
                <c:pt idx="16">
                  <c:v>1.6464805555555555</c:v>
                </c:pt>
                <c:pt idx="17">
                  <c:v>1.6428120370370369</c:v>
                </c:pt>
                <c:pt idx="18">
                  <c:v>1.4867240740740741</c:v>
                </c:pt>
                <c:pt idx="19">
                  <c:v>1.3583638888888889</c:v>
                </c:pt>
                <c:pt idx="20">
                  <c:v>1.247198148148148</c:v>
                </c:pt>
                <c:pt idx="21">
                  <c:v>1.1107351851851852</c:v>
                </c:pt>
                <c:pt idx="22">
                  <c:v>0.93276388888888895</c:v>
                </c:pt>
                <c:pt idx="23">
                  <c:v>0.85028451178451181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43232"/>
        <c:axId val="102047040"/>
      </c:barChart>
      <c:catAx>
        <c:axId val="1020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47040"/>
        <c:crosses val="autoZero"/>
        <c:auto val="1"/>
        <c:lblAlgn val="ctr"/>
        <c:lblOffset val="100"/>
        <c:noMultiLvlLbl val="0"/>
      </c:catAx>
      <c:valAx>
        <c:axId val="1020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Arkusz1!$A$3:$X$3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Arkusz1!$A$4:$X$4</c:f>
              <c:numCache>
                <c:formatCode>0.00</c:formatCode>
                <c:ptCount val="24"/>
                <c:pt idx="0">
                  <c:v>2.1145999999999998</c:v>
                </c:pt>
                <c:pt idx="1">
                  <c:v>1.7818833333333333</c:v>
                </c:pt>
                <c:pt idx="2">
                  <c:v>1.4042750000000002</c:v>
                </c:pt>
                <c:pt idx="3">
                  <c:v>1.0855666666666668</c:v>
                </c:pt>
                <c:pt idx="4">
                  <c:v>0.73721666666666674</c:v>
                </c:pt>
                <c:pt idx="5">
                  <c:v>0.45379166666666659</c:v>
                </c:pt>
                <c:pt idx="6">
                  <c:v>0.24966666666666668</c:v>
                </c:pt>
                <c:pt idx="7">
                  <c:v>0.22751666666666662</c:v>
                </c:pt>
                <c:pt idx="8">
                  <c:v>0.18842500000000004</c:v>
                </c:pt>
                <c:pt idx="9">
                  <c:v>0.20945000000000003</c:v>
                </c:pt>
                <c:pt idx="10">
                  <c:v>0.20422499999999999</c:v>
                </c:pt>
                <c:pt idx="11">
                  <c:v>0.198375</c:v>
                </c:pt>
                <c:pt idx="12">
                  <c:v>0.23690000000000003</c:v>
                </c:pt>
                <c:pt idx="13">
                  <c:v>0.32385000000000003</c:v>
                </c:pt>
                <c:pt idx="14">
                  <c:v>0.29098333333333332</c:v>
                </c:pt>
                <c:pt idx="15">
                  <c:v>0.33249166666666669</c:v>
                </c:pt>
                <c:pt idx="16">
                  <c:v>0.58341666666666669</c:v>
                </c:pt>
                <c:pt idx="17">
                  <c:v>0.96858333333333346</c:v>
                </c:pt>
                <c:pt idx="18">
                  <c:v>1.4959166666666668</c:v>
                </c:pt>
                <c:pt idx="19">
                  <c:v>1.8311250000000001</c:v>
                </c:pt>
                <c:pt idx="20">
                  <c:v>2.0107499999999998</c:v>
                </c:pt>
                <c:pt idx="21">
                  <c:v>2.1176166666666663</c:v>
                </c:pt>
                <c:pt idx="22">
                  <c:v>2.3532583333333332</c:v>
                </c:pt>
                <c:pt idx="23">
                  <c:v>2.6001166666666666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44320"/>
        <c:axId val="102050304"/>
      </c:barChart>
      <c:catAx>
        <c:axId val="1020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50304"/>
        <c:crosses val="autoZero"/>
        <c:auto val="1"/>
        <c:lblAlgn val="ctr"/>
        <c:lblOffset val="100"/>
        <c:noMultiLvlLbl val="0"/>
      </c:catAx>
      <c:valAx>
        <c:axId val="1020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4948</xdr:colOff>
      <xdr:row>44</xdr:row>
      <xdr:rowOff>114795</xdr:rowOff>
    </xdr:from>
    <xdr:to>
      <xdr:col>12</xdr:col>
      <xdr:colOff>409698</xdr:colOff>
      <xdr:row>59</xdr:row>
      <xdr:rowOff>156358</xdr:rowOff>
    </xdr:to>
    <xdr:graphicFrame macro="">
      <xdr:nvGraphicFramePr>
        <xdr:cNvPr id="5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315686</xdr:colOff>
      <xdr:row>44</xdr:row>
      <xdr:rowOff>130630</xdr:rowOff>
    </xdr:from>
    <xdr:to>
      <xdr:col>20</xdr:col>
      <xdr:colOff>97972</xdr:colOff>
      <xdr:row>59</xdr:row>
      <xdr:rowOff>97973</xdr:rowOff>
    </xdr:to>
    <xdr:graphicFrame macro="">
      <xdr:nvGraphicFramePr>
        <xdr:cNvPr id="6" name="Wykres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32656</xdr:colOff>
      <xdr:row>59</xdr:row>
      <xdr:rowOff>141514</xdr:rowOff>
    </xdr:from>
    <xdr:to>
      <xdr:col>12</xdr:col>
      <xdr:colOff>413656</xdr:colOff>
      <xdr:row>74</xdr:row>
      <xdr:rowOff>108857</xdr:rowOff>
    </xdr:to>
    <xdr:graphicFrame macro="">
      <xdr:nvGraphicFramePr>
        <xdr:cNvPr id="7" name="Wykres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8"/>
  <sheetViews>
    <sheetView tabSelected="1" topLeftCell="A34" zoomScale="70" zoomScaleNormal="70" workbookViewId="0">
      <selection activeCell="P73" sqref="P73"/>
    </sheetView>
  </sheetViews>
  <sheetFormatPr defaultRowHeight="14.4" x14ac:dyDescent="0.3"/>
  <cols>
    <col min="1" max="1" width="13.44140625" customWidth="1"/>
    <col min="2" max="24" width="8.6640625" customWidth="1"/>
  </cols>
  <sheetData>
    <row r="1" spans="1:54" ht="36" x14ac:dyDescent="0.3">
      <c r="A1" s="8" t="s">
        <v>8</v>
      </c>
      <c r="B1" s="5" t="s">
        <v>10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4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3">
      <c r="A2" s="6" t="s">
        <v>1</v>
      </c>
      <c r="B2" s="4" t="s">
        <v>2</v>
      </c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s="7" customFormat="1" x14ac:dyDescent="0.3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6">
        <v>9</v>
      </c>
      <c r="J3" s="6">
        <v>10</v>
      </c>
      <c r="K3" s="6">
        <v>11</v>
      </c>
      <c r="L3" s="6">
        <v>12</v>
      </c>
      <c r="M3" s="6">
        <v>13</v>
      </c>
      <c r="N3" s="6">
        <v>14</v>
      </c>
      <c r="O3" s="6">
        <v>15</v>
      </c>
      <c r="P3" s="6">
        <v>16</v>
      </c>
      <c r="Q3" s="6">
        <v>17</v>
      </c>
      <c r="R3" s="6">
        <v>18</v>
      </c>
      <c r="S3" s="6">
        <v>19</v>
      </c>
      <c r="T3" s="6">
        <v>20</v>
      </c>
      <c r="U3" s="6">
        <v>21</v>
      </c>
      <c r="V3" s="6">
        <v>22</v>
      </c>
      <c r="W3" s="6">
        <v>23</v>
      </c>
      <c r="X3" s="6">
        <v>24</v>
      </c>
      <c r="Y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10"/>
      <c r="AZ3" s="10"/>
      <c r="BA3" s="10"/>
      <c r="BB3" s="10"/>
    </row>
    <row r="4" spans="1:54" s="13" customFormat="1" x14ac:dyDescent="0.3">
      <c r="A4" s="17">
        <v>2.1145999999999998</v>
      </c>
      <c r="B4" s="17">
        <v>1.7818833333333333</v>
      </c>
      <c r="C4" s="17">
        <v>1.4042750000000002</v>
      </c>
      <c r="D4" s="17">
        <v>1.0855666666666668</v>
      </c>
      <c r="E4" s="17">
        <v>0.73721666666666674</v>
      </c>
      <c r="F4" s="17">
        <v>0.45379166666666659</v>
      </c>
      <c r="G4" s="17">
        <v>0.24966666666666668</v>
      </c>
      <c r="H4" s="17">
        <v>0.22751666666666662</v>
      </c>
      <c r="I4" s="17">
        <v>0.18842500000000004</v>
      </c>
      <c r="J4" s="17">
        <v>0.20945000000000003</v>
      </c>
      <c r="K4" s="17">
        <v>0.20422499999999999</v>
      </c>
      <c r="L4" s="17">
        <v>0.198375</v>
      </c>
      <c r="M4" s="17">
        <v>0.23690000000000003</v>
      </c>
      <c r="N4" s="17">
        <v>0.32385000000000003</v>
      </c>
      <c r="O4" s="17">
        <v>0.29098333333333332</v>
      </c>
      <c r="P4" s="17">
        <v>0.33249166666666669</v>
      </c>
      <c r="Q4" s="17">
        <v>0.58341666666666669</v>
      </c>
      <c r="R4" s="17">
        <v>0.96858333333333346</v>
      </c>
      <c r="S4" s="17">
        <v>1.4959166666666668</v>
      </c>
      <c r="T4" s="17">
        <v>1.8311250000000001</v>
      </c>
      <c r="U4" s="17">
        <v>2.0107499999999998</v>
      </c>
      <c r="V4" s="17">
        <v>2.1176166666666663</v>
      </c>
      <c r="W4" s="17">
        <v>2.3532583333333332</v>
      </c>
      <c r="X4" s="17">
        <v>2.6001166666666666</v>
      </c>
      <c r="Y4" s="15">
        <f>SUM(A4:X4)</f>
        <v>24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2"/>
      <c r="BA4" s="12"/>
      <c r="BB4" s="12"/>
    </row>
    <row r="5" spans="1:54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2"/>
      <c r="BA5" s="2"/>
      <c r="BB5" s="2"/>
    </row>
    <row r="6" spans="1:54" ht="54" x14ac:dyDescent="0.3">
      <c r="A6" s="8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3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  <c r="BA6" s="2"/>
      <c r="BB6" s="2"/>
    </row>
    <row r="7" spans="1:54" x14ac:dyDescent="0.3">
      <c r="A7" s="7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2"/>
      <c r="BA7" s="2"/>
      <c r="BB7" s="2"/>
    </row>
    <row r="8" spans="1:54" s="7" customFormat="1" ht="14.25" customHeight="1" x14ac:dyDescent="0.3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P8" s="6">
        <v>16</v>
      </c>
      <c r="Q8" s="6">
        <v>17</v>
      </c>
      <c r="R8" s="6">
        <v>18</v>
      </c>
      <c r="S8" s="6">
        <v>19</v>
      </c>
      <c r="T8" s="6">
        <v>20</v>
      </c>
      <c r="U8" s="6">
        <v>21</v>
      </c>
      <c r="V8" s="6">
        <v>22</v>
      </c>
      <c r="W8" s="6">
        <v>23</v>
      </c>
      <c r="X8" s="6">
        <v>24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10"/>
      <c r="BA8" s="10"/>
      <c r="BB8" s="10"/>
    </row>
    <row r="9" spans="1:54" s="13" customFormat="1" x14ac:dyDescent="0.3">
      <c r="A9" s="17">
        <v>0.35030833333333328</v>
      </c>
      <c r="B9" s="17">
        <v>0.18947499999999998</v>
      </c>
      <c r="C9" s="17">
        <v>0.10045000000000003</v>
      </c>
      <c r="D9" s="17">
        <v>6.3333333333333339E-2</v>
      </c>
      <c r="E9" s="17">
        <v>5.2374999999999998E-2</v>
      </c>
      <c r="F9" s="17">
        <v>5.4141666666666664E-2</v>
      </c>
      <c r="G9" s="17">
        <v>9.3491666666666681E-2</v>
      </c>
      <c r="H9" s="17">
        <v>0.23388333333333336</v>
      </c>
      <c r="I9" s="17">
        <v>0.68299166666666666</v>
      </c>
      <c r="J9" s="17">
        <v>1.3235666666666666</v>
      </c>
      <c r="K9" s="17">
        <v>1.3061249999999998</v>
      </c>
      <c r="L9" s="17">
        <v>1.3184750000000003</v>
      </c>
      <c r="M9" s="17">
        <v>1.509133333333333</v>
      </c>
      <c r="N9" s="17">
        <v>1.6712583333333335</v>
      </c>
      <c r="O9" s="17">
        <v>1.7881916666666668</v>
      </c>
      <c r="P9" s="17">
        <v>1.7818583333333333</v>
      </c>
      <c r="Q9" s="17">
        <v>1.9881249999999995</v>
      </c>
      <c r="R9" s="17">
        <v>2.0912833333333332</v>
      </c>
      <c r="S9" s="17">
        <v>1.8021166666666673</v>
      </c>
      <c r="T9" s="17">
        <v>1.5719833333333335</v>
      </c>
      <c r="U9" s="17">
        <v>1.3590666666666664</v>
      </c>
      <c r="V9" s="17">
        <v>1.1184833333333335</v>
      </c>
      <c r="W9" s="17">
        <v>0.85091666666666665</v>
      </c>
      <c r="X9" s="17">
        <v>0.69904166666666667</v>
      </c>
      <c r="Y9" s="18">
        <f>SUM(A9:X9)</f>
        <v>24.000074999999999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2"/>
      <c r="BA9" s="12"/>
      <c r="BB9" s="12"/>
    </row>
    <row r="10" spans="1:54" x14ac:dyDescent="0.3">
      <c r="A10" s="6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2"/>
      <c r="BA10" s="2"/>
      <c r="BB10" s="2"/>
    </row>
    <row r="11" spans="1:54" s="7" customFormat="1" x14ac:dyDescent="0.3">
      <c r="A11" s="6">
        <v>1</v>
      </c>
      <c r="B11" s="6">
        <v>2</v>
      </c>
      <c r="C11" s="6">
        <v>3</v>
      </c>
      <c r="D11" s="6">
        <v>4</v>
      </c>
      <c r="E11" s="6">
        <v>5</v>
      </c>
      <c r="F11" s="6">
        <v>6</v>
      </c>
      <c r="G11" s="6">
        <v>7</v>
      </c>
      <c r="H11" s="6">
        <v>8</v>
      </c>
      <c r="I11" s="6">
        <v>9</v>
      </c>
      <c r="J11" s="6">
        <v>10</v>
      </c>
      <c r="K11" s="6">
        <v>11</v>
      </c>
      <c r="L11" s="6">
        <v>12</v>
      </c>
      <c r="M11" s="6">
        <v>13</v>
      </c>
      <c r="N11" s="6">
        <v>14</v>
      </c>
      <c r="O11" s="6">
        <v>15</v>
      </c>
      <c r="P11" s="6">
        <v>16</v>
      </c>
      <c r="Q11" s="6">
        <v>17</v>
      </c>
      <c r="R11" s="6">
        <v>18</v>
      </c>
      <c r="S11" s="6">
        <v>19</v>
      </c>
      <c r="T11" s="6">
        <v>20</v>
      </c>
      <c r="U11" s="6">
        <v>21</v>
      </c>
      <c r="V11" s="6">
        <v>22</v>
      </c>
      <c r="W11" s="6">
        <v>23</v>
      </c>
      <c r="X11" s="6">
        <v>24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10"/>
      <c r="BA11" s="10"/>
      <c r="BB11" s="10"/>
    </row>
    <row r="12" spans="1:54" s="13" customFormat="1" x14ac:dyDescent="0.3">
      <c r="A12" s="17">
        <v>0.39694166666666669</v>
      </c>
      <c r="B12" s="17">
        <v>0.27509166666666668</v>
      </c>
      <c r="C12" s="17">
        <v>0.20025833333333332</v>
      </c>
      <c r="D12" s="17">
        <v>0.12070833333333332</v>
      </c>
      <c r="E12" s="17">
        <v>6.7891666666666656E-2</v>
      </c>
      <c r="F12" s="17">
        <v>6.7333333333333328E-2</v>
      </c>
      <c r="G12" s="17">
        <v>7.8191666666666673E-2</v>
      </c>
      <c r="H12" s="17">
        <v>0.15744166666666665</v>
      </c>
      <c r="I12" s="17">
        <v>0.32349166666666662</v>
      </c>
      <c r="J12" s="17">
        <v>0.72373333333333345</v>
      </c>
      <c r="K12" s="17">
        <v>1.1436916666666666</v>
      </c>
      <c r="L12" s="17">
        <v>1.5389999999999997</v>
      </c>
      <c r="M12" s="17">
        <v>1.8954250000000004</v>
      </c>
      <c r="N12" s="17">
        <v>2.1576583333333335</v>
      </c>
      <c r="O12" s="17">
        <v>2.2371416666666666</v>
      </c>
      <c r="P12" s="17">
        <v>2.0795666666666661</v>
      </c>
      <c r="Q12" s="17">
        <v>1.8636833333333334</v>
      </c>
      <c r="R12" s="17">
        <v>1.860516666666667</v>
      </c>
      <c r="S12" s="17">
        <v>1.6552999999999998</v>
      </c>
      <c r="T12" s="17">
        <v>1.5154999999999996</v>
      </c>
      <c r="U12" s="17">
        <v>1.4020333333333335</v>
      </c>
      <c r="V12" s="17">
        <v>1.1455</v>
      </c>
      <c r="W12" s="17">
        <v>0.77816666666666656</v>
      </c>
      <c r="X12" s="17">
        <v>0.55830909090909087</v>
      </c>
      <c r="Y12" s="18">
        <f>SUM(A12:X12)</f>
        <v>24.242575757575754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2"/>
      <c r="BA12" s="12"/>
      <c r="BB12" s="12"/>
    </row>
    <row r="13" spans="1:54" ht="54" x14ac:dyDescent="0.3">
      <c r="A13" s="8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2"/>
      <c r="BA13" s="2"/>
      <c r="BB13" s="2"/>
    </row>
    <row r="14" spans="1:54" x14ac:dyDescent="0.3">
      <c r="A14" s="6" t="s">
        <v>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2"/>
      <c r="BA14" s="2"/>
      <c r="BB14" s="2"/>
    </row>
    <row r="15" spans="1:54" s="7" customFormat="1" x14ac:dyDescent="0.3">
      <c r="A15" s="6">
        <v>1</v>
      </c>
      <c r="B15" s="6">
        <v>2</v>
      </c>
      <c r="C15" s="6">
        <v>3</v>
      </c>
      <c r="D15" s="6">
        <v>4</v>
      </c>
      <c r="E15" s="6">
        <v>5</v>
      </c>
      <c r="F15" s="6">
        <v>6</v>
      </c>
      <c r="G15" s="6">
        <v>7</v>
      </c>
      <c r="H15" s="6">
        <v>8</v>
      </c>
      <c r="I15" s="6">
        <v>9</v>
      </c>
      <c r="J15" s="6">
        <v>10</v>
      </c>
      <c r="K15" s="6">
        <v>11</v>
      </c>
      <c r="L15" s="6">
        <v>12</v>
      </c>
      <c r="M15" s="6">
        <v>13</v>
      </c>
      <c r="N15" s="6">
        <v>14</v>
      </c>
      <c r="O15" s="6">
        <v>15</v>
      </c>
      <c r="P15" s="6">
        <v>16</v>
      </c>
      <c r="Q15" s="6">
        <v>17</v>
      </c>
      <c r="R15" s="6">
        <v>18</v>
      </c>
      <c r="S15" s="6">
        <v>19</v>
      </c>
      <c r="T15" s="6">
        <v>20</v>
      </c>
      <c r="U15" s="6">
        <v>21</v>
      </c>
      <c r="V15" s="6">
        <v>22</v>
      </c>
      <c r="W15" s="6">
        <v>23</v>
      </c>
      <c r="X15" s="6">
        <v>24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10"/>
      <c r="BA15" s="10"/>
      <c r="BB15" s="10"/>
    </row>
    <row r="16" spans="1:54" s="13" customFormat="1" x14ac:dyDescent="0.3">
      <c r="A16" s="14">
        <v>0.44513333333333333</v>
      </c>
      <c r="B16" s="14">
        <v>0.34381666666666666</v>
      </c>
      <c r="C16" s="14">
        <v>0.28649166666666664</v>
      </c>
      <c r="D16" s="14">
        <v>0.22132500000000002</v>
      </c>
      <c r="E16" s="14">
        <v>0.19587499999999999</v>
      </c>
      <c r="F16" s="14">
        <v>0.25061666666666665</v>
      </c>
      <c r="G16" s="14">
        <v>0.27465000000000001</v>
      </c>
      <c r="H16" s="14">
        <v>0.60855000000000004</v>
      </c>
      <c r="I16" s="14">
        <v>0.98749999999999982</v>
      </c>
      <c r="J16" s="14">
        <v>1.4224999999999997</v>
      </c>
      <c r="K16" s="14">
        <v>1.5590416666666667</v>
      </c>
      <c r="L16" s="14">
        <v>1.7792666666666666</v>
      </c>
      <c r="M16" s="14">
        <v>1.7938333333333329</v>
      </c>
      <c r="N16" s="14">
        <v>1.6558499999999998</v>
      </c>
      <c r="O16" s="14">
        <v>1.5102833333333334</v>
      </c>
      <c r="P16" s="14">
        <v>1.5301916666666668</v>
      </c>
      <c r="Q16" s="14">
        <v>1.777091666666667</v>
      </c>
      <c r="R16" s="14">
        <v>1.6571583333333331</v>
      </c>
      <c r="S16" s="14">
        <v>1.3713833333333332</v>
      </c>
      <c r="T16" s="14">
        <v>1.0902749999999999</v>
      </c>
      <c r="U16" s="14">
        <v>1.0417333333333334</v>
      </c>
      <c r="V16" s="14">
        <v>0.86386666666666656</v>
      </c>
      <c r="W16" s="14">
        <v>0.70809999999999995</v>
      </c>
      <c r="X16" s="14">
        <v>0.62546666666666673</v>
      </c>
      <c r="Y16" s="18">
        <f>SUM(A16:X16)</f>
        <v>24</v>
      </c>
      <c r="Z16" s="15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3">
      <c r="A17" s="6" t="s">
        <v>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s="7" customFormat="1" x14ac:dyDescent="0.3">
      <c r="A18" s="6">
        <v>1</v>
      </c>
      <c r="B18" s="6">
        <v>2</v>
      </c>
      <c r="C18" s="6">
        <v>3</v>
      </c>
      <c r="D18" s="6">
        <v>4</v>
      </c>
      <c r="E18" s="6">
        <v>5</v>
      </c>
      <c r="F18" s="6">
        <v>6</v>
      </c>
      <c r="G18" s="6">
        <v>7</v>
      </c>
      <c r="H18" s="6">
        <v>8</v>
      </c>
      <c r="I18" s="6">
        <v>9</v>
      </c>
      <c r="J18" s="6">
        <v>10</v>
      </c>
      <c r="K18" s="6">
        <v>11</v>
      </c>
      <c r="L18" s="6">
        <v>12</v>
      </c>
      <c r="M18" s="6">
        <v>13</v>
      </c>
      <c r="N18" s="6">
        <v>14</v>
      </c>
      <c r="O18" s="6">
        <v>15</v>
      </c>
      <c r="P18" s="6">
        <v>16</v>
      </c>
      <c r="Q18" s="6">
        <v>17</v>
      </c>
      <c r="R18" s="6">
        <v>18</v>
      </c>
      <c r="S18" s="6">
        <v>19</v>
      </c>
      <c r="T18" s="6">
        <v>20</v>
      </c>
      <c r="U18" s="6">
        <v>21</v>
      </c>
      <c r="V18" s="6">
        <v>22</v>
      </c>
      <c r="W18" s="6">
        <v>23</v>
      </c>
      <c r="X18" s="6">
        <v>24</v>
      </c>
      <c r="Y18" s="3"/>
      <c r="Z18" s="3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1:54" s="13" customFormat="1" x14ac:dyDescent="0.3">
      <c r="A19" s="16">
        <v>0.55810833333333332</v>
      </c>
      <c r="B19" s="16">
        <v>0.43420000000000009</v>
      </c>
      <c r="C19" s="16">
        <v>0.36439166666666667</v>
      </c>
      <c r="D19" s="16">
        <v>0.25362500000000004</v>
      </c>
      <c r="E19" s="16">
        <v>0.17518333333333333</v>
      </c>
      <c r="F19" s="16">
        <v>0.18460833333333337</v>
      </c>
      <c r="G19" s="16">
        <v>0.18947499999999998</v>
      </c>
      <c r="H19" s="16">
        <v>0.28636666666666666</v>
      </c>
      <c r="I19" s="17">
        <v>0.48569999999999997</v>
      </c>
      <c r="J19" s="17">
        <v>0.82281666666666675</v>
      </c>
      <c r="K19" s="17">
        <v>1.1560333333333332</v>
      </c>
      <c r="L19" s="17">
        <v>1.6918916666666666</v>
      </c>
      <c r="M19" s="17">
        <v>1.8747499999999997</v>
      </c>
      <c r="N19" s="17">
        <v>1.9482250000000001</v>
      </c>
      <c r="O19" s="17">
        <v>2.0668916666666668</v>
      </c>
      <c r="P19" s="17">
        <v>2.0008416666666666</v>
      </c>
      <c r="Q19" s="17">
        <v>1.7643666666666666</v>
      </c>
      <c r="R19" s="17">
        <v>1.7446083333333331</v>
      </c>
      <c r="S19" s="17">
        <v>1.5086416666666667</v>
      </c>
      <c r="T19" s="17">
        <v>1.2659166666666666</v>
      </c>
      <c r="U19" s="17">
        <v>1.1359333333333332</v>
      </c>
      <c r="V19" s="17">
        <v>0.89749166666666669</v>
      </c>
      <c r="W19" s="17">
        <v>0.64139166666666669</v>
      </c>
      <c r="X19" s="17">
        <v>0.61135454545454537</v>
      </c>
      <c r="Y19" s="18">
        <f>SUM(A19:X19)</f>
        <v>24.062812878787877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ht="72" x14ac:dyDescent="0.3">
      <c r="A20" s="8" t="s">
        <v>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 t="s">
        <v>9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3">
      <c r="A21" s="10" t="s">
        <v>3</v>
      </c>
      <c r="B21" s="9"/>
      <c r="C21" s="9"/>
      <c r="D21" s="9"/>
      <c r="E21" s="9"/>
      <c r="F21" s="9"/>
      <c r="G21" s="9"/>
      <c r="H21" s="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s="7" customFormat="1" ht="13.5" customHeight="1" x14ac:dyDescent="0.3">
      <c r="A22" s="6">
        <v>1</v>
      </c>
      <c r="B22" s="6">
        <v>2</v>
      </c>
      <c r="C22" s="6">
        <v>3</v>
      </c>
      <c r="D22" s="6">
        <v>4</v>
      </c>
      <c r="E22" s="6">
        <v>5</v>
      </c>
      <c r="F22" s="6">
        <v>6</v>
      </c>
      <c r="G22" s="6">
        <v>7</v>
      </c>
      <c r="H22" s="6">
        <v>8</v>
      </c>
      <c r="I22" s="6">
        <v>9</v>
      </c>
      <c r="J22" s="6">
        <v>10</v>
      </c>
      <c r="K22" s="6">
        <v>11</v>
      </c>
      <c r="L22" s="6">
        <v>12</v>
      </c>
      <c r="M22" s="6">
        <v>13</v>
      </c>
      <c r="N22" s="6">
        <v>14</v>
      </c>
      <c r="O22" s="6">
        <v>15</v>
      </c>
      <c r="P22" s="6">
        <v>16</v>
      </c>
      <c r="Q22" s="6">
        <v>17</v>
      </c>
      <c r="R22" s="6">
        <v>18</v>
      </c>
      <c r="S22" s="6">
        <v>19</v>
      </c>
      <c r="T22" s="6">
        <v>20</v>
      </c>
      <c r="U22" s="6">
        <v>21</v>
      </c>
      <c r="V22" s="6">
        <v>22</v>
      </c>
      <c r="W22" s="6">
        <v>23</v>
      </c>
      <c r="X22" s="6">
        <v>24</v>
      </c>
      <c r="Y22" s="3"/>
      <c r="Z22" s="3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1:54" s="13" customFormat="1" x14ac:dyDescent="0.3">
      <c r="A23" s="14">
        <v>0.37372500000000003</v>
      </c>
      <c r="B23" s="14">
        <v>0.23317499999999999</v>
      </c>
      <c r="C23" s="14">
        <v>0.21259999999999998</v>
      </c>
      <c r="D23" s="14">
        <v>0.253025</v>
      </c>
      <c r="E23" s="14">
        <v>0.22168333333333334</v>
      </c>
      <c r="F23" s="14">
        <v>0.22129166666666666</v>
      </c>
      <c r="G23" s="14">
        <v>0.32612499999999994</v>
      </c>
      <c r="H23" s="14">
        <v>0.44447500000000001</v>
      </c>
      <c r="I23" s="14">
        <v>0.84185833333333349</v>
      </c>
      <c r="J23" s="14">
        <v>1.1150666666666667</v>
      </c>
      <c r="K23" s="14">
        <v>1.2113583333333333</v>
      </c>
      <c r="L23" s="14">
        <v>1.28305</v>
      </c>
      <c r="M23" s="14">
        <v>1.5581416666666668</v>
      </c>
      <c r="N23" s="14">
        <v>1.7563499999999996</v>
      </c>
      <c r="O23" s="14">
        <v>1.4789000000000001</v>
      </c>
      <c r="P23" s="14">
        <v>1.4603416666666666</v>
      </c>
      <c r="Q23" s="14">
        <v>1.7311749999999997</v>
      </c>
      <c r="R23" s="14">
        <v>2.1042833333333331</v>
      </c>
      <c r="S23" s="14">
        <v>1.8041583333333335</v>
      </c>
      <c r="T23" s="14">
        <v>1.4445333333333332</v>
      </c>
      <c r="U23" s="14">
        <v>1.1362083333333333</v>
      </c>
      <c r="V23" s="14">
        <v>1.0811249999999999</v>
      </c>
      <c r="W23" s="14">
        <v>0.87734166666666658</v>
      </c>
      <c r="X23" s="14">
        <v>0.83000833333333324</v>
      </c>
      <c r="Y23" s="15">
        <f>SUM(A23:X23)</f>
        <v>23.999999999999996</v>
      </c>
      <c r="Z23" s="15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3">
      <c r="A24" s="10" t="s">
        <v>4</v>
      </c>
      <c r="B24" s="9"/>
      <c r="C24" s="9"/>
      <c r="D24" s="9"/>
      <c r="E24" s="9"/>
      <c r="F24" s="9"/>
      <c r="G24" s="9"/>
      <c r="H24" s="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"/>
      <c r="Z24" s="1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s="7" customFormat="1" x14ac:dyDescent="0.3">
      <c r="A25" s="6">
        <v>1</v>
      </c>
      <c r="B25" s="6">
        <v>2</v>
      </c>
      <c r="C25" s="6">
        <v>3</v>
      </c>
      <c r="D25" s="6">
        <v>4</v>
      </c>
      <c r="E25" s="6">
        <v>5</v>
      </c>
      <c r="F25" s="6">
        <v>6</v>
      </c>
      <c r="G25" s="6">
        <v>7</v>
      </c>
      <c r="H25" s="6">
        <v>8</v>
      </c>
      <c r="I25" s="6">
        <v>9</v>
      </c>
      <c r="J25" s="6">
        <v>10</v>
      </c>
      <c r="K25" s="6">
        <v>11</v>
      </c>
      <c r="L25" s="6">
        <v>12</v>
      </c>
      <c r="M25" s="6">
        <v>13</v>
      </c>
      <c r="N25" s="6">
        <v>14</v>
      </c>
      <c r="O25" s="6">
        <v>15</v>
      </c>
      <c r="P25" s="6">
        <v>16</v>
      </c>
      <c r="Q25" s="6">
        <v>17</v>
      </c>
      <c r="R25" s="6">
        <v>18</v>
      </c>
      <c r="S25" s="6">
        <v>19</v>
      </c>
      <c r="T25" s="6">
        <v>20</v>
      </c>
      <c r="U25" s="6">
        <v>21</v>
      </c>
      <c r="V25" s="6">
        <v>22</v>
      </c>
      <c r="W25" s="6">
        <v>23</v>
      </c>
      <c r="X25" s="6">
        <v>24</v>
      </c>
      <c r="Y25" s="3"/>
      <c r="Z25" s="3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spans="1:54" s="13" customFormat="1" x14ac:dyDescent="0.3">
      <c r="A26" s="14">
        <v>0.44950000000000001</v>
      </c>
      <c r="B26" s="14">
        <v>0.36036666666666672</v>
      </c>
      <c r="C26" s="14">
        <v>0.25154166666666672</v>
      </c>
      <c r="D26" s="14">
        <v>0.26757500000000001</v>
      </c>
      <c r="E26" s="14">
        <v>0.17430833333333332</v>
      </c>
      <c r="F26" s="14">
        <v>0.16088333333333335</v>
      </c>
      <c r="G26" s="14">
        <v>0.164075</v>
      </c>
      <c r="H26" s="14">
        <v>0.22749166666666673</v>
      </c>
      <c r="I26" s="14">
        <v>0.33574166666666666</v>
      </c>
      <c r="J26" s="14">
        <v>0.78009166666666652</v>
      </c>
      <c r="K26" s="14">
        <v>0.91627500000000006</v>
      </c>
      <c r="L26" s="14">
        <v>1.4119583333333334</v>
      </c>
      <c r="M26" s="14">
        <v>1.8595666666666668</v>
      </c>
      <c r="N26" s="14">
        <v>1.8550583333333333</v>
      </c>
      <c r="O26" s="14">
        <v>2.1016083333333335</v>
      </c>
      <c r="P26" s="14">
        <v>2.0102583333333333</v>
      </c>
      <c r="Q26" s="14">
        <v>1.7781083333333336</v>
      </c>
      <c r="R26" s="14">
        <v>1.9599666666666666</v>
      </c>
      <c r="S26" s="14">
        <v>1.7927333333333333</v>
      </c>
      <c r="T26" s="14">
        <v>1.5274000000000001</v>
      </c>
      <c r="U26" s="14">
        <v>1.20645</v>
      </c>
      <c r="V26" s="14">
        <v>1.1549833333333333</v>
      </c>
      <c r="W26" s="14">
        <v>0.83596666666666664</v>
      </c>
      <c r="X26" s="14">
        <v>0.6291000000000001</v>
      </c>
      <c r="Y26" s="15">
        <f>SUM(A26:X26)</f>
        <v>24.211008333333339</v>
      </c>
      <c r="Z26" s="15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</row>
    <row r="27" spans="1:54" ht="72" x14ac:dyDescent="0.3">
      <c r="A27" s="8" t="s">
        <v>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"/>
      <c r="Z27" s="1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s="7" customFormat="1" x14ac:dyDescent="0.3">
      <c r="A28" s="6" t="s">
        <v>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3"/>
      <c r="Z28" s="3"/>
      <c r="AA28" s="10"/>
      <c r="AB28" s="10"/>
      <c r="AC28" s="10"/>
    </row>
    <row r="29" spans="1:54" s="7" customFormat="1" x14ac:dyDescent="0.3">
      <c r="A29" s="6">
        <v>1</v>
      </c>
      <c r="B29" s="6">
        <v>2</v>
      </c>
      <c r="C29" s="6">
        <v>3</v>
      </c>
      <c r="D29" s="6">
        <v>4</v>
      </c>
      <c r="E29" s="6">
        <v>5</v>
      </c>
      <c r="F29" s="6">
        <v>6</v>
      </c>
      <c r="G29" s="6">
        <v>7</v>
      </c>
      <c r="H29" s="6">
        <v>8</v>
      </c>
      <c r="I29" s="6">
        <v>9</v>
      </c>
      <c r="J29" s="6">
        <v>10</v>
      </c>
      <c r="K29" s="6">
        <v>11</v>
      </c>
      <c r="L29" s="6">
        <v>12</v>
      </c>
      <c r="M29" s="6">
        <v>13</v>
      </c>
      <c r="N29" s="6">
        <v>14</v>
      </c>
      <c r="O29" s="6">
        <v>15</v>
      </c>
      <c r="P29" s="6">
        <v>16</v>
      </c>
      <c r="Q29" s="6">
        <v>17</v>
      </c>
      <c r="R29" s="6">
        <v>18</v>
      </c>
      <c r="S29" s="6">
        <v>19</v>
      </c>
      <c r="T29" s="6">
        <v>20</v>
      </c>
      <c r="U29" s="6">
        <v>21</v>
      </c>
      <c r="V29" s="6">
        <v>22</v>
      </c>
      <c r="W29" s="6">
        <v>23</v>
      </c>
      <c r="X29" s="6">
        <v>24</v>
      </c>
      <c r="Y29" s="3"/>
      <c r="Z29" s="3"/>
      <c r="AA29" s="10"/>
      <c r="AB29" s="10"/>
      <c r="AC29" s="10"/>
    </row>
    <row r="30" spans="1:54" s="13" customFormat="1" x14ac:dyDescent="0.3">
      <c r="A30" s="14">
        <v>0.86059166666666675</v>
      </c>
      <c r="B30" s="14">
        <v>0.8100166666666665</v>
      </c>
      <c r="C30" s="14">
        <v>0.52489166666666665</v>
      </c>
      <c r="D30" s="14">
        <v>0.27394166666666669</v>
      </c>
      <c r="E30" s="14">
        <v>0.15614166666666668</v>
      </c>
      <c r="F30" s="14">
        <v>0.11290833333333332</v>
      </c>
      <c r="G30" s="14">
        <v>0.10096666666666666</v>
      </c>
      <c r="H30" s="14">
        <v>0.11519166666666668</v>
      </c>
      <c r="I30" s="14">
        <v>0.55315833333333331</v>
      </c>
      <c r="J30" s="14">
        <v>1.662508333333333</v>
      </c>
      <c r="K30" s="14">
        <v>2.2177666666666669</v>
      </c>
      <c r="L30" s="14">
        <v>2.1959499999999998</v>
      </c>
      <c r="M30" s="14">
        <v>2.5921583333333333</v>
      </c>
      <c r="N30" s="14">
        <v>1.7481583333333333</v>
      </c>
      <c r="O30" s="14">
        <v>1.6766583333333331</v>
      </c>
      <c r="P30" s="14">
        <v>1.5342</v>
      </c>
      <c r="Q30" s="14">
        <v>1.33955</v>
      </c>
      <c r="R30" s="14">
        <v>1.0226833333333334</v>
      </c>
      <c r="S30" s="14">
        <v>0.86356666666666682</v>
      </c>
      <c r="T30" s="14">
        <v>0.97820000000000007</v>
      </c>
      <c r="U30" s="14">
        <v>1.0002333333333333</v>
      </c>
      <c r="V30" s="14">
        <v>0.79132500000000006</v>
      </c>
      <c r="W30" s="14">
        <v>0.63488333333333336</v>
      </c>
      <c r="X30" s="14">
        <v>0.42941818181818187</v>
      </c>
      <c r="Y30" s="15">
        <f>SUM(A30:X30)</f>
        <v>24.195068181818183</v>
      </c>
      <c r="Z30" s="15"/>
      <c r="AA30" s="12"/>
      <c r="AB30" s="12"/>
      <c r="AC30" s="12"/>
    </row>
    <row r="31" spans="1:54" s="7" customFormat="1" ht="33.75" customHeight="1" x14ac:dyDescent="0.3">
      <c r="A31" s="6" t="s">
        <v>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3"/>
      <c r="Z31" s="3"/>
      <c r="AA31" s="10"/>
      <c r="AB31" s="10"/>
      <c r="AC31" s="10"/>
    </row>
    <row r="32" spans="1:54" s="7" customFormat="1" x14ac:dyDescent="0.3">
      <c r="A32" s="6">
        <v>1</v>
      </c>
      <c r="B32" s="6">
        <v>2</v>
      </c>
      <c r="C32" s="6">
        <v>3</v>
      </c>
      <c r="D32" s="6">
        <v>4</v>
      </c>
      <c r="E32" s="6">
        <v>5</v>
      </c>
      <c r="F32" s="6">
        <v>6</v>
      </c>
      <c r="G32" s="6">
        <v>7</v>
      </c>
      <c r="H32" s="6">
        <v>8</v>
      </c>
      <c r="I32" s="6">
        <v>9</v>
      </c>
      <c r="J32" s="6">
        <v>10</v>
      </c>
      <c r="K32" s="6">
        <v>11</v>
      </c>
      <c r="L32" s="6">
        <v>12</v>
      </c>
      <c r="M32" s="6">
        <v>13</v>
      </c>
      <c r="N32" s="6">
        <v>14</v>
      </c>
      <c r="O32" s="6">
        <v>15</v>
      </c>
      <c r="P32" s="6">
        <v>16</v>
      </c>
      <c r="Q32" s="6">
        <v>17</v>
      </c>
      <c r="R32" s="6">
        <v>18</v>
      </c>
      <c r="S32" s="6">
        <v>19</v>
      </c>
      <c r="T32" s="6">
        <v>20</v>
      </c>
      <c r="U32" s="6">
        <v>21</v>
      </c>
      <c r="V32" s="6">
        <v>22</v>
      </c>
      <c r="W32" s="6">
        <v>23</v>
      </c>
      <c r="X32" s="6">
        <v>24</v>
      </c>
      <c r="Y32" s="3"/>
      <c r="Z32" s="3"/>
      <c r="AA32" s="10"/>
      <c r="AB32" s="10"/>
      <c r="AC32" s="10"/>
    </row>
    <row r="33" spans="1:29" s="13" customFormat="1" x14ac:dyDescent="0.3">
      <c r="A33" s="14">
        <v>1.149025</v>
      </c>
      <c r="B33" s="14">
        <v>1.1183833333333333</v>
      </c>
      <c r="C33" s="14">
        <v>0.74636666666666673</v>
      </c>
      <c r="D33" s="14">
        <v>0.45674999999999999</v>
      </c>
      <c r="E33" s="14">
        <v>0.26299166666666668</v>
      </c>
      <c r="F33" s="14">
        <v>0.23020000000000004</v>
      </c>
      <c r="G33" s="14">
        <v>0.21906666666666672</v>
      </c>
      <c r="H33" s="14">
        <v>0.21211666666666665</v>
      </c>
      <c r="I33" s="14">
        <v>0.2489166666666667</v>
      </c>
      <c r="J33" s="14">
        <v>0.54415000000000002</v>
      </c>
      <c r="K33" s="14">
        <v>0.70199166666666668</v>
      </c>
      <c r="L33" s="14">
        <v>1.2203833333333332</v>
      </c>
      <c r="M33" s="14">
        <v>2.2421416666666665</v>
      </c>
      <c r="N33" s="14">
        <v>1.9578416666666667</v>
      </c>
      <c r="O33" s="14">
        <v>2.3767999999999998</v>
      </c>
      <c r="P33" s="14">
        <v>2.112083333333334</v>
      </c>
      <c r="Q33" s="14">
        <v>1.9928083333333333</v>
      </c>
      <c r="R33" s="14">
        <v>1.3762249999999998</v>
      </c>
      <c r="S33" s="14">
        <v>1.0867</v>
      </c>
      <c r="T33" s="14">
        <v>1.0003416666666665</v>
      </c>
      <c r="U33" s="14">
        <v>0.93237500000000006</v>
      </c>
      <c r="V33" s="14">
        <v>0.82622499999999999</v>
      </c>
      <c r="W33" s="14">
        <v>0.7148500000000001</v>
      </c>
      <c r="X33" s="14">
        <v>0.66974545454545453</v>
      </c>
      <c r="Y33" s="15">
        <f>SUM(A33:X33)</f>
        <v>24.398478787878791</v>
      </c>
      <c r="Z33" s="15"/>
      <c r="AA33" s="12"/>
      <c r="AB33" s="12"/>
      <c r="AC33" s="12"/>
    </row>
    <row r="34" spans="1:29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2"/>
      <c r="Z34" s="2"/>
      <c r="AA34" s="2"/>
      <c r="AB34" s="2"/>
      <c r="AC34" s="2"/>
    </row>
    <row r="35" spans="1:29" x14ac:dyDescent="0.3">
      <c r="A35" s="10" t="s">
        <v>11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2"/>
      <c r="Z35" s="2"/>
      <c r="AA35" s="2"/>
      <c r="AB35" s="2"/>
      <c r="AC35" s="2"/>
    </row>
    <row r="36" spans="1:29" x14ac:dyDescent="0.3">
      <c r="A36" s="19">
        <v>1</v>
      </c>
      <c r="B36" s="19">
        <v>2</v>
      </c>
      <c r="C36" s="19">
        <v>3</v>
      </c>
      <c r="D36" s="19">
        <v>4</v>
      </c>
      <c r="E36" s="19">
        <v>5</v>
      </c>
      <c r="F36" s="19">
        <v>6</v>
      </c>
      <c r="G36" s="19">
        <v>7</v>
      </c>
      <c r="H36" s="19">
        <v>8</v>
      </c>
      <c r="I36" s="19">
        <v>9</v>
      </c>
      <c r="J36" s="19">
        <v>10</v>
      </c>
      <c r="K36" s="19">
        <v>11</v>
      </c>
      <c r="L36" s="19">
        <v>12</v>
      </c>
      <c r="M36" s="19">
        <v>13</v>
      </c>
      <c r="N36" s="19">
        <v>14</v>
      </c>
      <c r="O36" s="19">
        <v>15</v>
      </c>
      <c r="P36" s="19">
        <v>16</v>
      </c>
      <c r="Q36" s="19">
        <v>17</v>
      </c>
      <c r="R36" s="19">
        <v>18</v>
      </c>
      <c r="S36" s="19">
        <v>19</v>
      </c>
      <c r="T36" s="19">
        <v>20</v>
      </c>
      <c r="U36" s="19">
        <v>21</v>
      </c>
      <c r="V36" s="19">
        <v>22</v>
      </c>
      <c r="W36" s="19">
        <v>23</v>
      </c>
      <c r="X36" s="19">
        <v>24</v>
      </c>
    </row>
    <row r="37" spans="1:29" x14ac:dyDescent="0.3">
      <c r="A37" s="11">
        <f>AVERAGE(A33,A30,A26,A23,A19,A16,A12,A9,A4)</f>
        <v>0.74421481481481477</v>
      </c>
      <c r="B37" s="11">
        <f t="shared" ref="B37:X37" si="0">AVERAGE(B33,B30,B26,B23,B19,B16,B12,B9,B4)</f>
        <v>0.61626759259259256</v>
      </c>
      <c r="C37" s="11">
        <f t="shared" si="0"/>
        <v>0.45458518518518509</v>
      </c>
      <c r="D37" s="11">
        <f t="shared" si="0"/>
        <v>0.33287222222222224</v>
      </c>
      <c r="E37" s="11">
        <f t="shared" si="0"/>
        <v>0.22707407407407409</v>
      </c>
      <c r="F37" s="11">
        <f t="shared" si="0"/>
        <v>0.19286388888888889</v>
      </c>
      <c r="G37" s="11">
        <f t="shared" si="0"/>
        <v>0.18841203703703704</v>
      </c>
      <c r="H37" s="11">
        <f t="shared" si="0"/>
        <v>0.27922592592592599</v>
      </c>
      <c r="I37" s="11">
        <f t="shared" si="0"/>
        <v>0.51642037037037036</v>
      </c>
      <c r="J37" s="11">
        <f t="shared" si="0"/>
        <v>0.95598703703703691</v>
      </c>
      <c r="K37" s="11">
        <f t="shared" si="0"/>
        <v>1.1573898148148147</v>
      </c>
      <c r="L37" s="11">
        <f t="shared" si="0"/>
        <v>1.4042611111111112</v>
      </c>
      <c r="M37" s="11">
        <f t="shared" si="0"/>
        <v>1.7291166666666666</v>
      </c>
      <c r="N37" s="11">
        <f t="shared" si="0"/>
        <v>1.6749166666666668</v>
      </c>
      <c r="O37" s="11">
        <f t="shared" si="0"/>
        <v>1.725273148148148</v>
      </c>
      <c r="P37" s="11">
        <f t="shared" si="0"/>
        <v>1.6490925925925926</v>
      </c>
      <c r="Q37" s="11">
        <f t="shared" si="0"/>
        <v>1.6464805555555555</v>
      </c>
      <c r="R37" s="11">
        <f t="shared" si="0"/>
        <v>1.6428120370370369</v>
      </c>
      <c r="S37" s="11">
        <f t="shared" si="0"/>
        <v>1.4867240740740741</v>
      </c>
      <c r="T37" s="11">
        <f t="shared" si="0"/>
        <v>1.3583638888888889</v>
      </c>
      <c r="U37" s="11">
        <f t="shared" si="0"/>
        <v>1.247198148148148</v>
      </c>
      <c r="V37" s="11">
        <f t="shared" si="0"/>
        <v>1.1107351851851852</v>
      </c>
      <c r="W37" s="11">
        <f t="shared" si="0"/>
        <v>0.93276388888888895</v>
      </c>
      <c r="X37" s="11">
        <f t="shared" si="0"/>
        <v>0.85028451178451181</v>
      </c>
      <c r="Y37" s="15">
        <f>SUM(A37:X37)</f>
        <v>24.123335437710438</v>
      </c>
    </row>
    <row r="39" spans="1:29" x14ac:dyDescent="0.3">
      <c r="A39" t="s">
        <v>12</v>
      </c>
      <c r="C39">
        <v>48</v>
      </c>
      <c r="Y39" s="11">
        <f>AVERAGE(Y4:Y38)</f>
        <v>24.123335437710438</v>
      </c>
    </row>
    <row r="40" spans="1:29" x14ac:dyDescent="0.3">
      <c r="A40" t="s">
        <v>13</v>
      </c>
      <c r="C40">
        <v>0.2</v>
      </c>
      <c r="D40" t="s">
        <v>14</v>
      </c>
    </row>
    <row r="41" spans="1:29" x14ac:dyDescent="0.3">
      <c r="C41">
        <f xml:space="preserve"> 0.2*48</f>
        <v>9.6000000000000014</v>
      </c>
    </row>
    <row r="42" spans="1:29" x14ac:dyDescent="0.3">
      <c r="C42" t="s">
        <v>15</v>
      </c>
    </row>
    <row r="44" spans="1:29" x14ac:dyDescent="0.3">
      <c r="A44" t="s">
        <v>16</v>
      </c>
    </row>
    <row r="45" spans="1:29" x14ac:dyDescent="0.3">
      <c r="A45">
        <v>1</v>
      </c>
      <c r="B45">
        <v>-0.11600000000000001</v>
      </c>
      <c r="C45">
        <f>MIN(B45:B68)</f>
        <v>-0.27400000000000002</v>
      </c>
      <c r="D45">
        <f>B45-C$45</f>
        <v>0.15800000000000003</v>
      </c>
    </row>
    <row r="46" spans="1:29" x14ac:dyDescent="0.3">
      <c r="A46">
        <v>2</v>
      </c>
      <c r="B46">
        <v>-0.189</v>
      </c>
      <c r="D46">
        <f t="shared" ref="D46:D68" si="1">B46-C$45</f>
        <v>8.500000000000002E-2</v>
      </c>
    </row>
    <row r="47" spans="1:29" x14ac:dyDescent="0.3">
      <c r="A47">
        <v>3</v>
      </c>
      <c r="B47">
        <v>-0.23699999999999999</v>
      </c>
      <c r="D47">
        <f t="shared" si="1"/>
        <v>3.7000000000000033E-2</v>
      </c>
    </row>
    <row r="48" spans="1:29" x14ac:dyDescent="0.3">
      <c r="A48">
        <v>4</v>
      </c>
      <c r="B48">
        <v>-0.26300000000000001</v>
      </c>
      <c r="D48">
        <f t="shared" si="1"/>
        <v>1.100000000000001E-2</v>
      </c>
    </row>
    <row r="49" spans="1:4" x14ac:dyDescent="0.3">
      <c r="A49">
        <v>5</v>
      </c>
      <c r="B49">
        <v>-0.27400000000000002</v>
      </c>
      <c r="D49">
        <f t="shared" si="1"/>
        <v>0</v>
      </c>
    </row>
    <row r="50" spans="1:4" x14ac:dyDescent="0.3">
      <c r="A50">
        <v>6</v>
      </c>
      <c r="B50">
        <v>-0.26200000000000001</v>
      </c>
      <c r="D50">
        <f t="shared" si="1"/>
        <v>1.2000000000000011E-2</v>
      </c>
    </row>
    <row r="51" spans="1:4" x14ac:dyDescent="0.3">
      <c r="A51">
        <v>7</v>
      </c>
      <c r="B51">
        <v>-0.2</v>
      </c>
      <c r="D51">
        <f t="shared" si="1"/>
        <v>7.400000000000001E-2</v>
      </c>
    </row>
    <row r="52" spans="1:4" x14ac:dyDescent="0.3">
      <c r="A52">
        <v>8</v>
      </c>
      <c r="B52">
        <v>-4.7E-2</v>
      </c>
      <c r="D52">
        <f t="shared" si="1"/>
        <v>0.22700000000000004</v>
      </c>
    </row>
    <row r="53" spans="1:4" x14ac:dyDescent="0.3">
      <c r="A53">
        <v>9</v>
      </c>
      <c r="B53">
        <v>9.1999999999999998E-2</v>
      </c>
      <c r="D53">
        <f t="shared" si="1"/>
        <v>0.36599999999999999</v>
      </c>
    </row>
    <row r="54" spans="1:4" x14ac:dyDescent="0.3">
      <c r="A54">
        <v>10</v>
      </c>
      <c r="B54">
        <v>0.13100000000000001</v>
      </c>
      <c r="D54">
        <f t="shared" si="1"/>
        <v>0.40500000000000003</v>
      </c>
    </row>
    <row r="55" spans="1:4" x14ac:dyDescent="0.3">
      <c r="A55">
        <v>11</v>
      </c>
      <c r="B55">
        <v>0.112</v>
      </c>
      <c r="D55">
        <f t="shared" si="1"/>
        <v>0.38600000000000001</v>
      </c>
    </row>
    <row r="56" spans="1:4" x14ac:dyDescent="0.3">
      <c r="A56">
        <v>12</v>
      </c>
      <c r="B56">
        <v>8.6999999999999994E-2</v>
      </c>
      <c r="D56">
        <f t="shared" si="1"/>
        <v>0.36099999999999999</v>
      </c>
    </row>
    <row r="57" spans="1:4" x14ac:dyDescent="0.3">
      <c r="A57">
        <v>13</v>
      </c>
      <c r="B57">
        <v>0.06</v>
      </c>
      <c r="D57">
        <f t="shared" si="1"/>
        <v>0.33400000000000002</v>
      </c>
    </row>
    <row r="58" spans="1:4" x14ac:dyDescent="0.3">
      <c r="A58">
        <v>14</v>
      </c>
      <c r="B58">
        <v>0.03</v>
      </c>
      <c r="D58">
        <f t="shared" si="1"/>
        <v>0.30400000000000005</v>
      </c>
    </row>
    <row r="59" spans="1:4" x14ac:dyDescent="0.3">
      <c r="A59">
        <v>15</v>
      </c>
      <c r="B59">
        <v>0.01</v>
      </c>
      <c r="D59">
        <f t="shared" si="1"/>
        <v>0.28400000000000003</v>
      </c>
    </row>
    <row r="60" spans="1:4" x14ac:dyDescent="0.3">
      <c r="A60">
        <v>16</v>
      </c>
      <c r="B60">
        <v>-3.0000000000000001E-3</v>
      </c>
      <c r="D60">
        <f t="shared" si="1"/>
        <v>0.27100000000000002</v>
      </c>
    </row>
    <row r="61" spans="1:4" x14ac:dyDescent="0.3">
      <c r="A61">
        <v>17</v>
      </c>
      <c r="B61">
        <v>5.3999999999999999E-2</v>
      </c>
      <c r="D61">
        <f t="shared" si="1"/>
        <v>0.32800000000000001</v>
      </c>
    </row>
    <row r="62" spans="1:4" x14ac:dyDescent="0.3">
      <c r="A62">
        <v>18</v>
      </c>
      <c r="B62">
        <v>0.23899999999999999</v>
      </c>
      <c r="D62">
        <f t="shared" si="1"/>
        <v>0.51300000000000001</v>
      </c>
    </row>
    <row r="63" spans="1:4" x14ac:dyDescent="0.3">
      <c r="A63">
        <v>19</v>
      </c>
      <c r="B63">
        <v>0.28199999999999997</v>
      </c>
      <c r="D63">
        <f t="shared" si="1"/>
        <v>0.55600000000000005</v>
      </c>
    </row>
    <row r="64" spans="1:4" x14ac:dyDescent="0.3">
      <c r="A64">
        <v>20</v>
      </c>
      <c r="B64">
        <v>0.218</v>
      </c>
      <c r="D64">
        <f t="shared" si="1"/>
        <v>0.49199999999999999</v>
      </c>
    </row>
    <row r="65" spans="1:4" x14ac:dyDescent="0.3">
      <c r="A65">
        <v>21</v>
      </c>
      <c r="B65">
        <v>0.17399999999999999</v>
      </c>
      <c r="D65">
        <f t="shared" si="1"/>
        <v>0.44800000000000001</v>
      </c>
    </row>
    <row r="66" spans="1:4" x14ac:dyDescent="0.3">
      <c r="A66">
        <v>22</v>
      </c>
      <c r="B66">
        <v>0.121</v>
      </c>
      <c r="D66">
        <f t="shared" si="1"/>
        <v>0.39500000000000002</v>
      </c>
    </row>
    <row r="67" spans="1:4" x14ac:dyDescent="0.3">
      <c r="A67">
        <v>23</v>
      </c>
      <c r="B67">
        <v>0.04</v>
      </c>
      <c r="D67">
        <f t="shared" si="1"/>
        <v>0.314</v>
      </c>
    </row>
    <row r="68" spans="1:4" x14ac:dyDescent="0.3">
      <c r="A68">
        <v>24</v>
      </c>
      <c r="B68">
        <v>6.2E-2</v>
      </c>
      <c r="D68">
        <f t="shared" si="1"/>
        <v>0.33600000000000002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</dc:creator>
  <cp:lastModifiedBy>Bob Kowalski</cp:lastModifiedBy>
  <dcterms:created xsi:type="dcterms:W3CDTF">2025-12-25T15:32:20Z</dcterms:created>
  <dcterms:modified xsi:type="dcterms:W3CDTF">2026-01-06T16:19:43Z</dcterms:modified>
</cp:coreProperties>
</file>